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Giovanna\Documents\"/>
    </mc:Choice>
  </mc:AlternateContent>
  <xr:revisionPtr revIDLastSave="0" documentId="13_ncr:1_{DBEFA9CD-6B09-4FBA-B15E-41A02088709A}" xr6:coauthVersionLast="47" xr6:coauthVersionMax="47" xr10:uidLastSave="{00000000-0000-0000-0000-000000000000}"/>
  <bookViews>
    <workbookView xWindow="-120" yWindow="-120" windowWidth="20730" windowHeight="11040" tabRatio="0" xr2:uid="{D361F7CB-7B05-4927-88FE-F532C99ECBA5}"/>
  </bookViews>
  <sheets>
    <sheet name="Simulações de Investimento" sheetId="1" r:id="rId1"/>
    <sheet name="Base_Porcentagem" sheetId="2" state="hidden" r:id="rId2"/>
  </sheets>
  <functionGroups builtInGroupCount="19"/>
  <definedNames>
    <definedName name="anos">'Simulações de Investimento'!$C$10</definedName>
    <definedName name="patrimonio">'Simulações de Investimento'!$C$12</definedName>
    <definedName name="periodo">'Simulações de Investimento'!$C$10</definedName>
    <definedName name="rendimento_carteira">'Simulações de Investimento'!$F$18</definedName>
    <definedName name="salario">'Simulações de Investimento'!$F$17</definedName>
    <definedName name="sugestao_inv">'Simulações de Investimento'!$F$19</definedName>
    <definedName name="taxa">'Simulações de Investimento'!$C$11</definedName>
    <definedName name="valor_investido">'Simulações de Investimento'!$C$9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9" i="1" l="1"/>
  <c r="C23" i="1"/>
  <c r="C24" i="1"/>
  <c r="C25" i="1"/>
  <c r="C26" i="1"/>
  <c r="C27" i="1"/>
  <c r="C22" i="1"/>
  <c r="C18" i="1"/>
  <c r="C12" i="1"/>
  <c r="C13" i="1" s="1"/>
  <c r="F12" i="1" a="1"/>
  <c r="F11" i="1" a="1"/>
  <c r="F10" i="1" a="1"/>
  <c r="F13" i="1" a="1"/>
  <c r="F9" i="1" a="1"/>
  <c r="F22" i="1" l="1"/>
  <c r="F26" i="1"/>
  <c r="F24" i="1"/>
  <c r="F27" i="1"/>
  <c r="F25" i="1"/>
  <c r="F23" i="1"/>
  <c r="F11" i="1"/>
  <c r="G11" i="1" s="1"/>
  <c r="F12" i="1"/>
  <c r="G12" i="1" s="1"/>
  <c r="F9" i="1"/>
  <c r="G9" i="1" s="1"/>
  <c r="F10" i="1"/>
  <c r="G10" i="1" s="1"/>
  <c r="F13" i="1"/>
  <c r="G13" i="1" s="1"/>
  <c r="F28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Giovanna</author>
  </authors>
  <commentList>
    <comment ref="F19" authorId="0" shapeId="0" xr:uid="{23C66324-1033-46D4-9496-B128E827E247}">
      <text>
        <r>
          <rPr>
            <b/>
            <sz val="9"/>
            <color indexed="81"/>
            <rFont val="Segoe UI"/>
            <family val="2"/>
          </rPr>
          <t>Giovanna:</t>
        </r>
        <r>
          <rPr>
            <sz val="9"/>
            <color indexed="81"/>
            <rFont val="Segoe UI"/>
            <family val="2"/>
          </rPr>
          <t xml:space="preserve">
Sugerido investir 30% da sua renda mensal, mas esse valor pode variar de acordo com suas necessidades :)</t>
        </r>
      </text>
    </comment>
    <comment ref="C21" authorId="0" shapeId="0" xr:uid="{1A81E16B-9692-444B-887D-864F103ACA8C}">
      <text>
        <r>
          <rPr>
            <b/>
            <sz val="9"/>
            <color indexed="81"/>
            <rFont val="Segoe UI"/>
            <family val="2"/>
          </rPr>
          <t>Giovanna:</t>
        </r>
        <r>
          <rPr>
            <sz val="9"/>
            <color indexed="81"/>
            <rFont val="Segoe UI"/>
            <family val="2"/>
          </rPr>
          <t xml:space="preserve">
Baseado no seu perfil :)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<sst xmlns="http://schemas.openxmlformats.org/spreadsheetml/2006/main" count="76" uniqueCount="52">
  <si>
    <t>INVESTIMENTO MENSAL</t>
  </si>
  <si>
    <t>CENÁRIOS</t>
  </si>
  <si>
    <t>Patrimônio:</t>
  </si>
  <si>
    <t>Dividendos mensais:</t>
  </si>
  <si>
    <t>CONFIGURAÇÕES</t>
  </si>
  <si>
    <t>Valor investido mensalmente:</t>
  </si>
  <si>
    <t>Por quantos anos:</t>
  </si>
  <si>
    <t>Taxa de rendimento mensal:</t>
  </si>
  <si>
    <t>Patrimônio acumulado:</t>
  </si>
  <si>
    <r>
      <t xml:space="preserve">Em  </t>
    </r>
    <r>
      <rPr>
        <i/>
        <sz val="12"/>
        <color theme="1"/>
        <rFont val="Aptos Narrow"/>
        <family val="2"/>
        <scheme val="minor"/>
      </rPr>
      <t>2</t>
    </r>
    <r>
      <rPr>
        <sz val="12"/>
        <color theme="1"/>
        <rFont val="Aptos Narrow"/>
        <family val="2"/>
        <scheme val="minor"/>
      </rPr>
      <t xml:space="preserve"> anos:</t>
    </r>
  </si>
  <si>
    <r>
      <t xml:space="preserve">Em  </t>
    </r>
    <r>
      <rPr>
        <i/>
        <sz val="12"/>
        <color theme="1"/>
        <rFont val="Aptos Narrow"/>
        <family val="2"/>
        <scheme val="minor"/>
      </rPr>
      <t>5</t>
    </r>
    <r>
      <rPr>
        <sz val="12"/>
        <color theme="1"/>
        <rFont val="Aptos Narrow"/>
        <family val="2"/>
        <scheme val="minor"/>
      </rPr>
      <t xml:space="preserve"> anos:</t>
    </r>
  </si>
  <si>
    <r>
      <t xml:space="preserve">Em  </t>
    </r>
    <r>
      <rPr>
        <i/>
        <sz val="12"/>
        <color theme="1"/>
        <rFont val="Aptos Narrow"/>
        <family val="2"/>
        <scheme val="minor"/>
      </rPr>
      <t>10</t>
    </r>
    <r>
      <rPr>
        <sz val="12"/>
        <color theme="1"/>
        <rFont val="Aptos Narrow"/>
        <family val="2"/>
        <scheme val="minor"/>
      </rPr>
      <t xml:space="preserve"> anos:</t>
    </r>
  </si>
  <si>
    <r>
      <t xml:space="preserve">Em  </t>
    </r>
    <r>
      <rPr>
        <i/>
        <sz val="12"/>
        <color theme="1"/>
        <rFont val="Aptos Narrow"/>
        <family val="2"/>
        <scheme val="minor"/>
      </rPr>
      <t>20</t>
    </r>
    <r>
      <rPr>
        <sz val="12"/>
        <color theme="1"/>
        <rFont val="Aptos Narrow"/>
        <family val="2"/>
        <scheme val="minor"/>
      </rPr>
      <t xml:space="preserve"> anos:</t>
    </r>
  </si>
  <si>
    <r>
      <t xml:space="preserve">Em  </t>
    </r>
    <r>
      <rPr>
        <i/>
        <sz val="12"/>
        <color theme="1"/>
        <rFont val="Aptos Narrow"/>
        <family val="2"/>
        <scheme val="minor"/>
      </rPr>
      <t>30</t>
    </r>
    <r>
      <rPr>
        <sz val="12"/>
        <color theme="1"/>
        <rFont val="Aptos Narrow"/>
        <family val="2"/>
        <scheme val="minor"/>
      </rPr>
      <t xml:space="preserve"> anos:</t>
    </r>
  </si>
  <si>
    <t>Agressivo</t>
  </si>
  <si>
    <t>Perfil do Investidor:</t>
  </si>
  <si>
    <t>Valor (recomendado) a ser investido p/ mês:</t>
  </si>
  <si>
    <t>Salário:</t>
  </si>
  <si>
    <t>Rendimento (Carteira):</t>
  </si>
  <si>
    <t>Sugestão de investimento:</t>
  </si>
  <si>
    <t>TIPO DE FII</t>
  </si>
  <si>
    <t>PORCENTUAL SUGERIDO</t>
  </si>
  <si>
    <t>VALORES</t>
  </si>
  <si>
    <t>Papel</t>
  </si>
  <si>
    <t>Tijolo</t>
  </si>
  <si>
    <t>Híbridos</t>
  </si>
  <si>
    <t>FOFs</t>
  </si>
  <si>
    <t>Desenvolvimento</t>
  </si>
  <si>
    <t>Hotelarias</t>
  </si>
  <si>
    <t>Conservador</t>
  </si>
  <si>
    <t>Moderado</t>
  </si>
  <si>
    <t>PERFIL</t>
  </si>
  <si>
    <t>%</t>
  </si>
  <si>
    <t>CHAVE COMPOSTA</t>
  </si>
  <si>
    <t>Conservador-Papel</t>
  </si>
  <si>
    <t>Conservador-Tijolo</t>
  </si>
  <si>
    <t>Conservador-Híbridos</t>
  </si>
  <si>
    <t>Conservador-FOFs</t>
  </si>
  <si>
    <t>Conservador-Desenvolvimento</t>
  </si>
  <si>
    <t>Conservador-Hotelarias</t>
  </si>
  <si>
    <t>Agressivo-Papel</t>
  </si>
  <si>
    <t>Agressivo-Tijolo</t>
  </si>
  <si>
    <t>Agressivo-Híbridos</t>
  </si>
  <si>
    <t>Agressivo-FOFs</t>
  </si>
  <si>
    <t>Agressivo-Desenvolvimento</t>
  </si>
  <si>
    <t>Agressivo-Hotelarias</t>
  </si>
  <si>
    <t>Moderado-Papel</t>
  </si>
  <si>
    <t>Moderado-Tijolo</t>
  </si>
  <si>
    <t>Moderado-Híbridos</t>
  </si>
  <si>
    <t>Moderado-FOFs</t>
  </si>
  <si>
    <t>Moderado-Desenvolvimento</t>
  </si>
  <si>
    <t>Moderado-Hotelarias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</si>
</sst>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</numFmts>
  <fonts count="1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i/>
      <sz val="12"/>
      <color theme="1"/>
      <name val="Aptos Narrow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2"/>
      <color theme="0"/>
      <name val="Aptos Narrow"/>
      <family val="2"/>
      <scheme val="minor"/>
    </font>
    <font>
      <sz val="12"/>
      <color theme="9" tint="-0.499984740745262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b/>
      <sz val="18"/>
      <color theme="9" tint="-0.499984740745262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41">
    <border>
      <left/>
      <right/>
      <top/>
      <bottom/>
      <diagonal/>
    </border>
    <border>
      <left style="thin">
        <color theme="2" tint="-9.9948118533890809E-2"/>
      </left>
      <right style="thin">
        <color theme="2" tint="-9.9948118533890809E-2"/>
      </right>
      <top/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theme="2" tint="-9.9948118533890809E-2"/>
      </right>
      <top style="thin">
        <color indexed="64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ck">
        <color indexed="64"/>
      </right>
      <top style="thin">
        <color indexed="64"/>
      </top>
      <bottom style="thin">
        <color theme="2" tint="-9.9948118533890809E-2"/>
      </bottom>
      <diagonal/>
    </border>
    <border>
      <left style="thick">
        <color indexed="64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ck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ck">
        <color indexed="64"/>
      </left>
      <right style="thin">
        <color theme="2" tint="-9.9948118533890809E-2"/>
      </right>
      <top style="thin">
        <color theme="2" tint="-9.9948118533890809E-2"/>
      </top>
      <bottom style="thick">
        <color indexed="64"/>
      </bottom>
      <diagonal/>
    </border>
    <border>
      <left style="thin">
        <color theme="2" tint="-9.9948118533890809E-2"/>
      </left>
      <right style="thick">
        <color indexed="64"/>
      </right>
      <top style="thin">
        <color theme="2" tint="-9.9948118533890809E-2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n">
        <color theme="2" tint="-9.9948118533890809E-2"/>
      </right>
      <top/>
      <bottom style="thin">
        <color theme="2" tint="-9.9948118533890809E-2"/>
      </bottom>
      <diagonal/>
    </border>
    <border>
      <left style="thin">
        <color theme="2" tint="-9.9948118533890809E-2"/>
      </left>
      <right style="thick">
        <color indexed="64"/>
      </right>
      <top/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ck">
        <color indexed="64"/>
      </bottom>
      <diagonal/>
    </border>
    <border>
      <left style="thick">
        <color indexed="64"/>
      </left>
      <right style="thin">
        <color theme="2" tint="-9.9948118533890809E-2"/>
      </right>
      <top style="thick">
        <color indexed="64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ck">
        <color indexed="64"/>
      </right>
      <top style="thick">
        <color indexed="64"/>
      </top>
      <bottom style="thin">
        <color theme="2" tint="-9.9948118533890809E-2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thick">
        <color indexed="64"/>
      </left>
      <right/>
      <top style="thick">
        <color indexed="64"/>
      </top>
      <bottom style="thin">
        <color theme="2" tint="-9.9948118533890809E-2"/>
      </bottom>
      <diagonal/>
    </border>
    <border>
      <left/>
      <right/>
      <top style="thick">
        <color indexed="64"/>
      </top>
      <bottom style="thin">
        <color theme="2" tint="-9.9948118533890809E-2"/>
      </bottom>
      <diagonal/>
    </border>
    <border>
      <left/>
      <right style="thick">
        <color indexed="64"/>
      </right>
      <top style="thick">
        <color indexed="64"/>
      </top>
      <bottom style="thin">
        <color theme="2" tint="-9.9948118533890809E-2"/>
      </bottom>
      <diagonal/>
    </border>
    <border>
      <left/>
      <right/>
      <top/>
      <bottom style="thick">
        <color indexed="64"/>
      </bottom>
      <diagonal/>
    </border>
    <border>
      <left style="thin">
        <color theme="2" tint="-9.9948118533890809E-2"/>
      </left>
      <right/>
      <top style="thin">
        <color theme="2" tint="-9.9948118533890809E-2"/>
      </top>
      <bottom style="thin">
        <color theme="2" tint="-9.9948118533890809E-2"/>
      </bottom>
      <diagonal/>
    </border>
    <border>
      <left/>
      <right/>
      <top style="thin">
        <color theme="2" tint="-9.9948118533890809E-2"/>
      </top>
      <bottom style="thin">
        <color theme="2" tint="-9.9948118533890809E-2"/>
      </bottom>
      <diagonal/>
    </border>
    <border>
      <left/>
      <right style="thin">
        <color rgb="FF5DC937"/>
      </right>
      <top/>
      <bottom style="thin">
        <color rgb="FF5DC937"/>
      </bottom>
      <diagonal/>
    </border>
    <border>
      <left style="thin">
        <color rgb="FF5DC937"/>
      </left>
      <right style="thin">
        <color rgb="FF5DC937"/>
      </right>
      <top/>
      <bottom style="thin">
        <color rgb="FF5DC937"/>
      </bottom>
      <diagonal/>
    </border>
    <border>
      <left style="thin">
        <color rgb="FF5DC937"/>
      </left>
      <right/>
      <top/>
      <bottom style="thin">
        <color rgb="FF5DC937"/>
      </bottom>
      <diagonal/>
    </border>
    <border>
      <left/>
      <right style="thin">
        <color rgb="FF5DC937"/>
      </right>
      <top style="thin">
        <color rgb="FF5DC937"/>
      </top>
      <bottom style="thin">
        <color rgb="FF5DC937"/>
      </bottom>
      <diagonal/>
    </border>
    <border>
      <left style="thin">
        <color rgb="FF5DC937"/>
      </left>
      <right style="thin">
        <color rgb="FF5DC937"/>
      </right>
      <top style="thin">
        <color rgb="FF5DC937"/>
      </top>
      <bottom style="thin">
        <color rgb="FF5DC937"/>
      </bottom>
      <diagonal/>
    </border>
    <border>
      <left style="thin">
        <color rgb="FF5DC937"/>
      </left>
      <right/>
      <top style="thin">
        <color rgb="FF5DC937"/>
      </top>
      <bottom style="thin">
        <color rgb="FF5DC937"/>
      </bottom>
      <diagonal/>
    </border>
    <border>
      <left/>
      <right style="thin">
        <color rgb="FF5DC937"/>
      </right>
      <top style="thin">
        <color rgb="FF5DC937"/>
      </top>
      <bottom/>
      <diagonal/>
    </border>
    <border>
      <left style="thin">
        <color rgb="FF5DC937"/>
      </left>
      <right style="thin">
        <color rgb="FF5DC937"/>
      </right>
      <top style="thin">
        <color rgb="FF5DC937"/>
      </top>
      <bottom/>
      <diagonal/>
    </border>
    <border>
      <left style="thin">
        <color rgb="FF5DC937"/>
      </left>
      <right/>
      <top style="thin">
        <color rgb="FF5DC937"/>
      </top>
      <bottom/>
      <diagonal/>
    </border>
    <border>
      <left/>
      <right style="thick">
        <color auto="1"/>
      </right>
      <top style="thin">
        <color theme="2" tint="-9.9948118533890809E-2"/>
      </top>
      <bottom style="thin">
        <color theme="2" tint="-9.9948118533890809E-2"/>
      </bottom>
      <diagonal/>
    </border>
    <border>
      <left/>
      <right style="thick">
        <color auto="1"/>
      </right>
      <top style="thin">
        <color theme="2" tint="-9.9948118533890809E-2"/>
      </top>
      <bottom style="thick">
        <color auto="1"/>
      </bottom>
      <diagonal/>
    </border>
    <border>
      <left/>
      <right/>
      <top style="thin">
        <color theme="2" tint="-9.9948118533890809E-2"/>
      </top>
      <bottom style="thick">
        <color auto="1"/>
      </bottom>
      <diagonal/>
    </border>
    <border>
      <left style="thin">
        <color theme="2" tint="-9.9948118533890809E-2"/>
      </left>
      <right/>
      <top style="thick">
        <color theme="1"/>
      </top>
      <bottom style="thin">
        <color theme="2" tint="-9.9948118533890809E-2"/>
      </bottom>
      <diagonal/>
    </border>
    <border>
      <left/>
      <right style="thick">
        <color theme="1"/>
      </right>
      <top style="thick">
        <color theme="1"/>
      </top>
      <bottom style="thin">
        <color theme="2" tint="-9.9948118533890809E-2"/>
      </bottom>
      <diagonal/>
    </border>
    <border>
      <left/>
      <right style="thick">
        <color theme="1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/>
      <top style="thin">
        <color theme="2" tint="-9.9948118533890809E-2"/>
      </top>
      <bottom style="thick">
        <color theme="1"/>
      </bottom>
      <diagonal/>
    </border>
    <border>
      <left/>
      <right style="thick">
        <color theme="1"/>
      </right>
      <top style="thin">
        <color theme="2" tint="-9.9948118533890809E-2"/>
      </top>
      <bottom style="thick">
        <color theme="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7">
    <xf numFmtId="0" fontId="0" fillId="0" borderId="0" xfId="0"/>
    <xf numFmtId="0" fontId="2" fillId="0" borderId="5" xfId="0" applyFont="1" applyBorder="1" applyAlignment="1">
      <alignment horizontal="left" vertical="center" indent="1"/>
    </xf>
    <xf numFmtId="0" fontId="2" fillId="0" borderId="7" xfId="0" applyFont="1" applyBorder="1" applyAlignment="1">
      <alignment horizontal="left" vertical="center" indent="1"/>
    </xf>
    <xf numFmtId="0" fontId="3" fillId="3" borderId="7" xfId="0" applyFont="1" applyFill="1" applyBorder="1" applyAlignment="1">
      <alignment horizontal="left" vertical="center" indent="1"/>
    </xf>
    <xf numFmtId="0" fontId="3" fillId="3" borderId="9" xfId="0" applyFont="1" applyFill="1" applyBorder="1" applyAlignment="1">
      <alignment horizontal="left" vertical="center" indent="1"/>
    </xf>
    <xf numFmtId="0" fontId="2" fillId="3" borderId="7" xfId="0" applyFont="1" applyFill="1" applyBorder="1" applyAlignment="1">
      <alignment horizontal="left" vertical="center" indent="1"/>
    </xf>
    <xf numFmtId="0" fontId="2" fillId="3" borderId="9" xfId="0" applyFont="1" applyFill="1" applyBorder="1" applyAlignment="1">
      <alignment horizontal="left" vertical="center" indent="1"/>
    </xf>
    <xf numFmtId="0" fontId="2" fillId="3" borderId="15" xfId="0" applyFont="1" applyFill="1" applyBorder="1" applyAlignment="1">
      <alignment horizontal="left" vertical="center" indent="1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vertical="center"/>
    </xf>
    <xf numFmtId="0" fontId="7" fillId="2" borderId="11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164" fontId="3" fillId="0" borderId="6" xfId="1" applyNumberFormat="1" applyFont="1" applyBorder="1" applyAlignment="1" applyProtection="1">
      <alignment horizontal="center" vertical="center"/>
      <protection locked="0"/>
    </xf>
    <xf numFmtId="164" fontId="3" fillId="3" borderId="1" xfId="1" applyNumberFormat="1" applyFont="1" applyFill="1" applyBorder="1" applyAlignment="1">
      <alignment horizontal="center" vertical="center"/>
    </xf>
    <xf numFmtId="164" fontId="3" fillId="3" borderId="13" xfId="0" applyNumberFormat="1" applyFont="1" applyFill="1" applyBorder="1" applyAlignment="1">
      <alignment horizontal="center" vertical="center"/>
    </xf>
    <xf numFmtId="1" fontId="3" fillId="0" borderId="8" xfId="0" applyNumberFormat="1" applyFont="1" applyBorder="1" applyAlignment="1" applyProtection="1">
      <alignment horizontal="center" vertical="center"/>
      <protection locked="0"/>
    </xf>
    <xf numFmtId="164" fontId="3" fillId="3" borderId="2" xfId="0" applyNumberFormat="1" applyFont="1" applyFill="1" applyBorder="1" applyAlignment="1">
      <alignment horizontal="center" vertical="center"/>
    </xf>
    <xf numFmtId="164" fontId="3" fillId="3" borderId="8" xfId="0" applyNumberFormat="1" applyFont="1" applyFill="1" applyBorder="1" applyAlignment="1">
      <alignment horizontal="center" vertical="center"/>
    </xf>
    <xf numFmtId="10" fontId="3" fillId="0" borderId="8" xfId="2" applyNumberFormat="1" applyFont="1" applyBorder="1" applyAlignment="1" applyProtection="1">
      <alignment horizontal="center" vertical="center"/>
      <protection locked="0"/>
    </xf>
    <xf numFmtId="164" fontId="3" fillId="3" borderId="2" xfId="2" applyNumberFormat="1" applyFont="1" applyFill="1" applyBorder="1" applyAlignment="1">
      <alignment horizontal="center" vertical="center"/>
    </xf>
    <xf numFmtId="8" fontId="3" fillId="3" borderId="8" xfId="0" applyNumberFormat="1" applyFont="1" applyFill="1" applyBorder="1" applyAlignment="1">
      <alignment horizontal="center" vertical="center"/>
    </xf>
    <xf numFmtId="8" fontId="3" fillId="3" borderId="10" xfId="0" applyNumberFormat="1" applyFont="1" applyFill="1" applyBorder="1" applyAlignment="1">
      <alignment horizontal="center" vertical="center"/>
    </xf>
    <xf numFmtId="164" fontId="3" fillId="3" borderId="14" xfId="0" applyNumberFormat="1" applyFont="1" applyFill="1" applyBorder="1" applyAlignment="1">
      <alignment horizontal="center" vertical="center"/>
    </xf>
    <xf numFmtId="164" fontId="3" fillId="3" borderId="10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4" borderId="0" xfId="0" applyFont="1" applyFill="1" applyAlignment="1">
      <alignment vertical="center"/>
    </xf>
    <xf numFmtId="0" fontId="10" fillId="2" borderId="3" xfId="0" applyFont="1" applyFill="1" applyBorder="1" applyAlignment="1">
      <alignment horizontal="left" vertical="center" indent="1"/>
    </xf>
    <xf numFmtId="0" fontId="2" fillId="3" borderId="12" xfId="0" applyFont="1" applyFill="1" applyBorder="1" applyAlignment="1">
      <alignment horizontal="left" vertical="center" indent="1"/>
    </xf>
    <xf numFmtId="0" fontId="11" fillId="4" borderId="0" xfId="0" applyFont="1" applyFill="1" applyAlignment="1">
      <alignment horizontal="left" vertical="center"/>
    </xf>
    <xf numFmtId="0" fontId="10" fillId="2" borderId="18" xfId="0" applyFont="1" applyFill="1" applyBorder="1" applyAlignment="1">
      <alignment horizontal="center" vertical="center"/>
    </xf>
    <xf numFmtId="0" fontId="3" fillId="0" borderId="16" xfId="0" applyFont="1" applyBorder="1" applyAlignment="1" applyProtection="1">
      <alignment horizontal="center" vertical="center"/>
      <protection locked="0"/>
    </xf>
    <xf numFmtId="0" fontId="10" fillId="2" borderId="17" xfId="0" applyFont="1" applyFill="1" applyBorder="1" applyAlignment="1">
      <alignment horizontal="center" vertical="center"/>
    </xf>
    <xf numFmtId="9" fontId="0" fillId="0" borderId="0" xfId="2" applyFont="1" applyAlignment="1">
      <alignment horizontal="center"/>
    </xf>
    <xf numFmtId="9" fontId="0" fillId="0" borderId="0" xfId="2" applyFont="1" applyAlignment="1">
      <alignment horizontal="center" vertical="center"/>
    </xf>
    <xf numFmtId="0" fontId="0" fillId="5" borderId="24" xfId="0" applyFill="1" applyBorder="1" applyAlignment="1">
      <alignment horizontal="left" vertical="center"/>
    </xf>
    <xf numFmtId="0" fontId="0" fillId="5" borderId="25" xfId="0" applyFill="1" applyBorder="1" applyAlignment="1">
      <alignment horizontal="left" vertical="center"/>
    </xf>
    <xf numFmtId="0" fontId="0" fillId="5" borderId="25" xfId="0" applyFill="1" applyBorder="1" applyAlignment="1">
      <alignment horizontal="center" vertical="center"/>
    </xf>
    <xf numFmtId="9" fontId="0" fillId="5" borderId="26" xfId="2" applyFont="1" applyFill="1" applyBorder="1" applyAlignment="1">
      <alignment horizontal="center" vertical="center"/>
    </xf>
    <xf numFmtId="0" fontId="0" fillId="5" borderId="27" xfId="0" applyFill="1" applyBorder="1" applyAlignment="1">
      <alignment horizontal="left" vertical="center"/>
    </xf>
    <xf numFmtId="0" fontId="0" fillId="5" borderId="28" xfId="0" applyFill="1" applyBorder="1" applyAlignment="1">
      <alignment horizontal="left" vertical="center"/>
    </xf>
    <xf numFmtId="0" fontId="0" fillId="5" borderId="28" xfId="0" applyFill="1" applyBorder="1" applyAlignment="1">
      <alignment horizontal="center" vertical="center"/>
    </xf>
    <xf numFmtId="9" fontId="0" fillId="5" borderId="29" xfId="2" applyFont="1" applyFill="1" applyBorder="1" applyAlignment="1">
      <alignment horizontal="center" vertical="center"/>
    </xf>
    <xf numFmtId="0" fontId="0" fillId="4" borderId="27" xfId="0" applyFill="1" applyBorder="1" applyAlignment="1">
      <alignment horizontal="left" vertical="center"/>
    </xf>
    <xf numFmtId="0" fontId="0" fillId="4" borderId="28" xfId="0" applyFill="1" applyBorder="1" applyAlignment="1">
      <alignment horizontal="left" vertical="center"/>
    </xf>
    <xf numFmtId="0" fontId="0" fillId="4" borderId="28" xfId="0" applyFill="1" applyBorder="1"/>
    <xf numFmtId="9" fontId="0" fillId="4" borderId="29" xfId="2" applyFont="1" applyFill="1" applyBorder="1" applyAlignment="1">
      <alignment horizontal="center" vertical="center"/>
    </xf>
    <xf numFmtId="0" fontId="0" fillId="6" borderId="27" xfId="0" applyFill="1" applyBorder="1" applyAlignment="1">
      <alignment horizontal="left" vertical="center"/>
    </xf>
    <xf numFmtId="0" fontId="0" fillId="6" borderId="28" xfId="0" applyFill="1" applyBorder="1" applyAlignment="1">
      <alignment horizontal="left" vertical="center"/>
    </xf>
    <xf numFmtId="0" fontId="0" fillId="6" borderId="28" xfId="0" applyFill="1" applyBorder="1"/>
    <xf numFmtId="9" fontId="0" fillId="6" borderId="29" xfId="2" applyFont="1" applyFill="1" applyBorder="1" applyAlignment="1">
      <alignment horizontal="center" vertical="center"/>
    </xf>
    <xf numFmtId="9" fontId="0" fillId="6" borderId="29" xfId="2" applyFont="1" applyFill="1" applyBorder="1" applyAlignment="1">
      <alignment horizontal="center"/>
    </xf>
    <xf numFmtId="0" fontId="0" fillId="6" borderId="30" xfId="0" applyFill="1" applyBorder="1" applyAlignment="1">
      <alignment horizontal="left" vertical="center"/>
    </xf>
    <xf numFmtId="0" fontId="0" fillId="6" borderId="31" xfId="0" applyFill="1" applyBorder="1" applyAlignment="1">
      <alignment horizontal="left" vertical="center"/>
    </xf>
    <xf numFmtId="0" fontId="0" fillId="6" borderId="31" xfId="0" applyFill="1" applyBorder="1"/>
    <xf numFmtId="9" fontId="0" fillId="6" borderId="32" xfId="2" applyFont="1" applyFill="1" applyBorder="1" applyAlignment="1">
      <alignment horizontal="center"/>
    </xf>
    <xf numFmtId="164" fontId="3" fillId="3" borderId="22" xfId="0" applyNumberFormat="1" applyFont="1" applyFill="1" applyBorder="1" applyAlignment="1">
      <alignment horizontal="center" vertical="center"/>
    </xf>
    <xf numFmtId="164" fontId="3" fillId="3" borderId="33" xfId="0" applyNumberFormat="1" applyFont="1" applyFill="1" applyBorder="1" applyAlignment="1">
      <alignment horizontal="center" vertical="center"/>
    </xf>
    <xf numFmtId="164" fontId="9" fillId="2" borderId="35" xfId="0" applyNumberFormat="1" applyFont="1" applyFill="1" applyBorder="1" applyAlignment="1">
      <alignment horizontal="center" vertical="center"/>
    </xf>
    <xf numFmtId="164" fontId="9" fillId="2" borderId="34" xfId="0" applyNumberFormat="1" applyFont="1" applyFill="1" applyBorder="1" applyAlignment="1">
      <alignment horizontal="center" vertical="center"/>
    </xf>
    <xf numFmtId="164" fontId="3" fillId="0" borderId="36" xfId="1" applyNumberFormat="1" applyFont="1" applyBorder="1" applyAlignment="1" applyProtection="1">
      <alignment horizontal="center" vertical="center"/>
      <protection locked="0"/>
    </xf>
    <xf numFmtId="164" fontId="3" fillId="0" borderId="37" xfId="1" applyNumberFormat="1" applyFont="1" applyBorder="1" applyAlignment="1" applyProtection="1">
      <alignment horizontal="center" vertical="center"/>
      <protection locked="0"/>
    </xf>
    <xf numFmtId="10" fontId="3" fillId="0" borderId="22" xfId="2" applyNumberFormat="1" applyFont="1" applyBorder="1" applyAlignment="1" applyProtection="1">
      <alignment horizontal="center" vertical="center"/>
      <protection locked="0"/>
    </xf>
    <xf numFmtId="10" fontId="3" fillId="0" borderId="38" xfId="2" applyNumberFormat="1" applyFont="1" applyBorder="1" applyAlignment="1" applyProtection="1">
      <alignment horizontal="center" vertical="center"/>
      <protection locked="0"/>
    </xf>
    <xf numFmtId="164" fontId="3" fillId="0" borderId="39" xfId="2" applyNumberFormat="1" applyFont="1" applyBorder="1" applyAlignment="1" applyProtection="1">
      <alignment horizontal="center" vertical="center"/>
      <protection locked="0"/>
    </xf>
    <xf numFmtId="164" fontId="3" fillId="0" borderId="40" xfId="2" applyNumberFormat="1" applyFont="1" applyBorder="1" applyAlignment="1" applyProtection="1">
      <alignment horizontal="center" vertical="center"/>
      <protection locked="0"/>
    </xf>
    <xf numFmtId="0" fontId="10" fillId="2" borderId="19" xfId="0" applyFont="1" applyFill="1" applyBorder="1" applyAlignment="1">
      <alignment horizontal="center" vertical="center"/>
    </xf>
    <xf numFmtId="0" fontId="10" fillId="2" borderId="20" xfId="0" applyFont="1" applyFill="1" applyBorder="1" applyAlignment="1">
      <alignment horizontal="center" vertical="center"/>
    </xf>
    <xf numFmtId="9" fontId="3" fillId="3" borderId="2" xfId="2" applyFont="1" applyFill="1" applyBorder="1" applyAlignment="1">
      <alignment horizontal="center" vertical="center"/>
    </xf>
    <xf numFmtId="9" fontId="3" fillId="3" borderId="22" xfId="2" applyFont="1" applyFill="1" applyBorder="1" applyAlignment="1">
      <alignment horizontal="center" vertical="center"/>
    </xf>
    <xf numFmtId="9" fontId="3" fillId="3" borderId="23" xfId="2" applyFont="1" applyFill="1" applyBorder="1" applyAlignment="1">
      <alignment horizontal="center" vertical="center"/>
    </xf>
    <xf numFmtId="0" fontId="10" fillId="2" borderId="21" xfId="0" applyFont="1" applyFill="1" applyBorder="1" applyAlignment="1">
      <alignment horizontal="center" vertical="center"/>
    </xf>
    <xf numFmtId="0" fontId="10" fillId="2" borderId="3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left" vertical="center" wrapText="1" indent="1"/>
    </xf>
    <xf numFmtId="0" fontId="2" fillId="3" borderId="9" xfId="0" applyFont="1" applyFill="1" applyBorder="1" applyAlignment="1">
      <alignment horizontal="left" vertical="center" wrapText="1" indent="1"/>
    </xf>
    <xf numFmtId="164" fontId="3" fillId="3" borderId="8" xfId="0" applyNumberFormat="1" applyFont="1" applyFill="1" applyBorder="1" applyAlignment="1">
      <alignment horizontal="center" vertical="center"/>
    </xf>
    <xf numFmtId="164" fontId="3" fillId="3" borderId="10" xfId="0" applyNumberFormat="1" applyFont="1" applyFill="1" applyBorder="1" applyAlignment="1">
      <alignment horizontal="center" vertical="center"/>
    </xf>
  </cellXfs>
  <cellStyles count="3">
    <cellStyle name="Moeda" xfId="1" builtinId="4"/>
    <cellStyle name="Normal" xfId="0" builtinId="0"/>
    <cellStyle name="Porcentagem" xfId="2" builtinId="5"/>
  </cellStyles>
  <dxfs count="0"/>
  <tableStyles count="0" defaultTableStyle="TableStyleMedium2" defaultPivotStyle="PivotStyleLight16"/>
  <colors>
    <mruColors>
      <color rgb="FF5DC93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76200</xdr:rowOff>
    </xdr:from>
    <xdr:to>
      <xdr:col>7</xdr:col>
      <xdr:colOff>665553</xdr:colOff>
      <xdr:row>6</xdr:row>
      <xdr:rowOff>140146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4447B207-D54F-3D9B-D822-2678567B97B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813"/>
        <a:stretch>
          <a:fillRect/>
        </a:stretch>
      </xdr:blipFill>
      <xdr:spPr>
        <a:xfrm>
          <a:off x="95250" y="419100"/>
          <a:ext cx="9476178" cy="212134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D96A8-077F-41D7-B226-1687302C5102}">
  <sheetPr codeName="Planilha1">
    <tabColor theme="9" tint="-0.249977111117893"/>
  </sheetPr>
  <dimension ref="B1:G30"/>
  <sheetViews>
    <sheetView showGridLines="0" tabSelected="1" workbookViewId="0">
      <selection activeCell="F1" sqref="F1"/>
    </sheetView>
  </sheetViews>
  <sheetFormatPr defaultColWidth="0" defaultRowHeight="27" customHeight="1" zeroHeight="1" x14ac:dyDescent="0.25"/>
  <cols>
    <col min="1" max="1" width="11.42578125" style="9" customWidth="1"/>
    <col min="2" max="2" width="30.5703125" style="9" bestFit="1" customWidth="1"/>
    <col min="3" max="3" width="17.5703125" style="24" customWidth="1"/>
    <col min="4" max="4" width="4.28515625" style="9" customWidth="1"/>
    <col min="5" max="5" width="29.7109375" style="9" customWidth="1"/>
    <col min="6" max="6" width="18.7109375" style="9" customWidth="1"/>
    <col min="7" max="7" width="21.28515625" style="9" customWidth="1"/>
    <col min="8" max="8" width="11.42578125" style="9" customWidth="1"/>
    <col min="9" max="9" width="0" style="9" hidden="1" customWidth="1"/>
    <col min="10" max="16384" width="0" style="9" hidden="1"/>
  </cols>
  <sheetData>
    <row r="1" spans="2:7" ht="27" customHeight="1" x14ac:dyDescent="0.25">
      <c r="C1" s="9"/>
    </row>
    <row r="2" spans="2:7" ht="27" customHeight="1" x14ac:dyDescent="0.25">
      <c r="C2" s="9"/>
    </row>
    <row r="3" spans="2:7" ht="27" customHeight="1" x14ac:dyDescent="0.25">
      <c r="C3" s="9"/>
    </row>
    <row r="4" spans="2:7" ht="27" customHeight="1" x14ac:dyDescent="0.25">
      <c r="C4" s="9"/>
    </row>
    <row r="5" spans="2:7" ht="27" customHeight="1" x14ac:dyDescent="0.25">
      <c r="C5" s="9"/>
    </row>
    <row r="6" spans="2:7" ht="27" customHeight="1" x14ac:dyDescent="0.25">
      <c r="C6" s="9"/>
    </row>
    <row r="7" spans="2:7" ht="27" customHeight="1" thickBot="1" x14ac:dyDescent="0.3">
      <c r="C7" s="9"/>
    </row>
    <row r="8" spans="2:7" ht="27" customHeight="1" thickTop="1" x14ac:dyDescent="0.25">
      <c r="B8" s="71" t="s">
        <v>0</v>
      </c>
      <c r="C8" s="72"/>
      <c r="E8" s="26" t="s">
        <v>1</v>
      </c>
      <c r="F8" s="10" t="s">
        <v>2</v>
      </c>
      <c r="G8" s="11" t="s">
        <v>3</v>
      </c>
    </row>
    <row r="9" spans="2:7" ht="27" customHeight="1" x14ac:dyDescent="0.25">
      <c r="B9" s="1" t="s">
        <v>5</v>
      </c>
      <c r="C9" s="12">
        <v>630</v>
      </c>
      <c r="E9" s="27" t="s">
        <v>9</v>
      </c>
      <c r="F9" s="13" cm="1">
        <f t="array" aca="1" ref="F9" ca="1">FV(taxa,lfRetiraNumeros($E9)*12,valor_investido*-1)</f>
        <v>17155.444106166404</v>
      </c>
      <c r="G9" s="14">
        <f ca="1">$F9*rendimento_carteira</f>
        <v>171.55444106166405</v>
      </c>
    </row>
    <row r="10" spans="2:7" ht="27" customHeight="1" x14ac:dyDescent="0.25">
      <c r="B10" s="2" t="s">
        <v>6</v>
      </c>
      <c r="C10" s="15">
        <v>1</v>
      </c>
      <c r="E10" s="5" t="s">
        <v>10</v>
      </c>
      <c r="F10" s="16" cm="1">
        <f t="array" aca="1" ref="F10" ca="1">FV(taxa,lfRetiraNumeros($E10)*12,valor_investido*-1)</f>
        <v>52796.53219633281</v>
      </c>
      <c r="G10" s="17">
        <f ca="1">$F10*rendimento_carteira</f>
        <v>527.96532196332805</v>
      </c>
    </row>
    <row r="11" spans="2:7" ht="27" customHeight="1" x14ac:dyDescent="0.25">
      <c r="B11" s="2" t="s">
        <v>7</v>
      </c>
      <c r="C11" s="18">
        <v>1.0800000000000001E-2</v>
      </c>
      <c r="E11" s="5" t="s">
        <v>11</v>
      </c>
      <c r="F11" s="19" cm="1">
        <f t="array" aca="1" ref="F11" ca="1">FV(taxa,lfRetiraNumeros($E11)*12,valor_investido*-1)</f>
        <v>153378.32974052406</v>
      </c>
      <c r="G11" s="17">
        <f ca="1">$F11*rendimento_carteira</f>
        <v>1533.7832974052405</v>
      </c>
    </row>
    <row r="12" spans="2:7" ht="27" customHeight="1" x14ac:dyDescent="0.25">
      <c r="B12" s="3" t="s">
        <v>8</v>
      </c>
      <c r="C12" s="20">
        <f>FV(taxa,periodo*12,valor_investido*-1)</f>
        <v>8025.6300198124918</v>
      </c>
      <c r="E12" s="5" t="s">
        <v>12</v>
      </c>
      <c r="F12" s="16" cm="1">
        <f t="array" aca="1" ref="F12" ca="1">FV(taxa,lfRetiraNumeros($E12)*12,valor_investido*-1)</f>
        <v>710040.86577806971</v>
      </c>
      <c r="G12" s="17">
        <f ca="1">$F12*rendimento_carteira</f>
        <v>7100.4086577806975</v>
      </c>
    </row>
    <row r="13" spans="2:7" ht="27" customHeight="1" thickBot="1" x14ac:dyDescent="0.3">
      <c r="B13" s="4" t="s">
        <v>3</v>
      </c>
      <c r="C13" s="21">
        <f>patrimonio*rendimento_carteira</f>
        <v>80.256300198124919</v>
      </c>
      <c r="E13" s="6" t="s">
        <v>13</v>
      </c>
      <c r="F13" s="22" cm="1">
        <f t="array" aca="1" ref="F13" ca="1">FV(taxa,lfRetiraNumeros($E13)*12,valor_investido*-1)</f>
        <v>2730360.0304995533</v>
      </c>
      <c r="G13" s="23">
        <f ca="1">$F13*rendimento_carteira</f>
        <v>27303.600304995532</v>
      </c>
    </row>
    <row r="14" spans="2:7" ht="27" customHeight="1" thickTop="1" x14ac:dyDescent="0.25"/>
    <row r="15" spans="2:7" s="25" customFormat="1" ht="27" customHeight="1" x14ac:dyDescent="0.25">
      <c r="B15" s="28" t="s">
        <v>4</v>
      </c>
    </row>
    <row r="16" spans="2:7" ht="27" customHeight="1" thickBot="1" x14ac:dyDescent="0.3"/>
    <row r="17" spans="2:7" ht="34.5" customHeight="1" thickTop="1" x14ac:dyDescent="0.25">
      <c r="B17" s="7" t="s">
        <v>15</v>
      </c>
      <c r="C17" s="30" t="s">
        <v>29</v>
      </c>
      <c r="E17" s="7" t="s">
        <v>17</v>
      </c>
      <c r="F17" s="59">
        <v>2100</v>
      </c>
      <c r="G17" s="60"/>
    </row>
    <row r="18" spans="2:7" ht="34.5" customHeight="1" x14ac:dyDescent="0.25">
      <c r="B18" s="73" t="s">
        <v>16</v>
      </c>
      <c r="C18" s="75">
        <f>valor_investido</f>
        <v>630</v>
      </c>
      <c r="E18" s="5" t="s">
        <v>18</v>
      </c>
      <c r="F18" s="61">
        <v>0.01</v>
      </c>
      <c r="G18" s="62"/>
    </row>
    <row r="19" spans="2:7" ht="34.5" customHeight="1" thickBot="1" x14ac:dyDescent="0.3">
      <c r="B19" s="74"/>
      <c r="C19" s="76"/>
      <c r="E19" s="6" t="s">
        <v>19</v>
      </c>
      <c r="F19" s="63">
        <f>salario*30%</f>
        <v>630</v>
      </c>
      <c r="G19" s="64"/>
    </row>
    <row r="20" spans="2:7" ht="27" customHeight="1" thickTop="1" thickBot="1" x14ac:dyDescent="0.3"/>
    <row r="21" spans="2:7" ht="27" customHeight="1" thickTop="1" x14ac:dyDescent="0.25">
      <c r="B21" s="29" t="s">
        <v>20</v>
      </c>
      <c r="C21" s="65" t="s">
        <v>21</v>
      </c>
      <c r="D21" s="65"/>
      <c r="E21" s="65"/>
      <c r="F21" s="65" t="s">
        <v>22</v>
      </c>
      <c r="G21" s="66"/>
    </row>
    <row r="22" spans="2:7" ht="27" customHeight="1" x14ac:dyDescent="0.25">
      <c r="B22" s="5" t="s">
        <v>23</v>
      </c>
      <c r="C22" s="67">
        <f>VLOOKUP($C$17&amp;"-"&amp;$B22,Base_Porcentagem!$B$2:$E$20,4,0)</f>
        <v>0.3</v>
      </c>
      <c r="D22" s="67"/>
      <c r="E22" s="68"/>
      <c r="F22" s="55">
        <f>$C22*$C$18</f>
        <v>189</v>
      </c>
      <c r="G22" s="56"/>
    </row>
    <row r="23" spans="2:7" ht="27" customHeight="1" x14ac:dyDescent="0.25">
      <c r="B23" s="5" t="s">
        <v>24</v>
      </c>
      <c r="C23" s="68">
        <f>VLOOKUP($C$17&amp;"-"&amp;$B23,Base_Porcentagem!$B$2:$E$20,4,0)</f>
        <v>0.5</v>
      </c>
      <c r="D23" s="69"/>
      <c r="E23" s="69"/>
      <c r="F23" s="55">
        <f t="shared" ref="F23:F27" si="0">$C23*$C$18</f>
        <v>315</v>
      </c>
      <c r="G23" s="56"/>
    </row>
    <row r="24" spans="2:7" ht="27" customHeight="1" x14ac:dyDescent="0.25">
      <c r="B24" s="5" t="s">
        <v>25</v>
      </c>
      <c r="C24" s="68">
        <f>VLOOKUP($C$17&amp;"-"&amp;$B24,Base_Porcentagem!$B$2:$E$20,4,0)</f>
        <v>0.1</v>
      </c>
      <c r="D24" s="69"/>
      <c r="E24" s="69"/>
      <c r="F24" s="55">
        <f t="shared" si="0"/>
        <v>63</v>
      </c>
      <c r="G24" s="56"/>
    </row>
    <row r="25" spans="2:7" ht="27" customHeight="1" x14ac:dyDescent="0.25">
      <c r="B25" s="5" t="s">
        <v>26</v>
      </c>
      <c r="C25" s="68">
        <f>VLOOKUP($C$17&amp;"-"&amp;$B25,Base_Porcentagem!$B$2:$E$20,4,0)</f>
        <v>0.1</v>
      </c>
      <c r="D25" s="69"/>
      <c r="E25" s="69"/>
      <c r="F25" s="55">
        <f t="shared" si="0"/>
        <v>63</v>
      </c>
      <c r="G25" s="56"/>
    </row>
    <row r="26" spans="2:7" ht="27" customHeight="1" x14ac:dyDescent="0.25">
      <c r="B26" s="5" t="s">
        <v>27</v>
      </c>
      <c r="C26" s="68">
        <f>VLOOKUP($C$17&amp;"-"&amp;$B26,Base_Porcentagem!$B$2:$E$20,4,0)</f>
        <v>0</v>
      </c>
      <c r="D26" s="69"/>
      <c r="E26" s="69"/>
      <c r="F26" s="55">
        <f t="shared" si="0"/>
        <v>0</v>
      </c>
      <c r="G26" s="56"/>
    </row>
    <row r="27" spans="2:7" ht="27" customHeight="1" x14ac:dyDescent="0.25">
      <c r="B27" s="5" t="s">
        <v>28</v>
      </c>
      <c r="C27" s="68">
        <f>VLOOKUP($C$17&amp;"-"&amp;$B27,Base_Porcentagem!$B$2:$E$20,4,0)</f>
        <v>0</v>
      </c>
      <c r="D27" s="69"/>
      <c r="E27" s="69"/>
      <c r="F27" s="55">
        <f t="shared" si="0"/>
        <v>0</v>
      </c>
      <c r="G27" s="56"/>
    </row>
    <row r="28" spans="2:7" ht="27" customHeight="1" thickBot="1" x14ac:dyDescent="0.3">
      <c r="B28" s="31"/>
      <c r="C28" s="70"/>
      <c r="D28" s="70"/>
      <c r="E28" s="70"/>
      <c r="F28" s="57">
        <f>SUM(F22:F27)</f>
        <v>630</v>
      </c>
      <c r="G28" s="58"/>
    </row>
    <row r="29" spans="2:7" ht="30" customHeight="1" thickTop="1" x14ac:dyDescent="0.25"/>
    <row r="30" spans="2:7" ht="27" customHeight="1" x14ac:dyDescent="0.25"/>
  </sheetData>
  <sheetProtection sheet="1" objects="1" scenarios="1"/>
  <mergeCells count="22">
    <mergeCell ref="C26:E26"/>
    <mergeCell ref="C27:E27"/>
    <mergeCell ref="C28:E28"/>
    <mergeCell ref="B8:C8"/>
    <mergeCell ref="B18:B19"/>
    <mergeCell ref="C18:C19"/>
    <mergeCell ref="C21:E21"/>
    <mergeCell ref="C22:E22"/>
    <mergeCell ref="C23:E23"/>
    <mergeCell ref="C24:E24"/>
    <mergeCell ref="C25:E25"/>
    <mergeCell ref="F26:G26"/>
    <mergeCell ref="F27:G27"/>
    <mergeCell ref="F28:G28"/>
    <mergeCell ref="F17:G17"/>
    <mergeCell ref="F18:G18"/>
    <mergeCell ref="F19:G19"/>
    <mergeCell ref="F21:G21"/>
    <mergeCell ref="F22:G22"/>
    <mergeCell ref="F23:G23"/>
    <mergeCell ref="F24:G24"/>
    <mergeCell ref="F25:G25"/>
  </mergeCells>
  <dataValidations count="1">
    <dataValidation type="list" allowBlank="1" showInputMessage="1" showErrorMessage="1" errorTitle="Epa!" error="Selecione – ou digite – somente os valores listados." promptTitle="Seleção de Perfil" prompt="Clique na setinha para selecionar o perfil que mais se encaixa com o seu estilo de investimento ;)" sqref="C17" xr:uid="{39BA8CD0-50E9-4D6F-ACC9-350A53B1D4B1}">
      <formula1>"Conservador,Moderado,Agressivo"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76DC3-4107-4DCB-B19D-694FD02BF915}">
  <dimension ref="B2:K20"/>
  <sheetViews>
    <sheetView workbookViewId="0">
      <selection activeCell="O12" sqref="O12"/>
    </sheetView>
  </sheetViews>
  <sheetFormatPr defaultRowHeight="15" x14ac:dyDescent="0.25"/>
  <cols>
    <col min="2" max="2" width="28.42578125" bestFit="1" customWidth="1"/>
    <col min="3" max="3" width="12.140625" bestFit="1" customWidth="1"/>
    <col min="4" max="4" width="16.140625" hidden="1" customWidth="1"/>
    <col min="5" max="5" width="8.28515625" style="32" customWidth="1"/>
    <col min="7" max="11" width="9.140625" style="8"/>
  </cols>
  <sheetData>
    <row r="2" spans="2:5" x14ac:dyDescent="0.25">
      <c r="B2" t="s">
        <v>33</v>
      </c>
      <c r="C2" s="8" t="s">
        <v>31</v>
      </c>
      <c r="D2" s="8" t="s">
        <v>20</v>
      </c>
      <c r="E2" s="33" t="s">
        <v>32</v>
      </c>
    </row>
    <row r="3" spans="2:5" x14ac:dyDescent="0.25">
      <c r="B3" s="34" t="s">
        <v>34</v>
      </c>
      <c r="C3" s="35" t="s">
        <v>29</v>
      </c>
      <c r="D3" s="36" t="s">
        <v>23</v>
      </c>
      <c r="E3" s="37">
        <v>0.3</v>
      </c>
    </row>
    <row r="4" spans="2:5" x14ac:dyDescent="0.25">
      <c r="B4" s="38" t="s">
        <v>35</v>
      </c>
      <c r="C4" s="39" t="s">
        <v>29</v>
      </c>
      <c r="D4" s="40" t="s">
        <v>24</v>
      </c>
      <c r="E4" s="41">
        <v>0.5</v>
      </c>
    </row>
    <row r="5" spans="2:5" x14ac:dyDescent="0.25">
      <c r="B5" s="38" t="s">
        <v>36</v>
      </c>
      <c r="C5" s="39" t="s">
        <v>29</v>
      </c>
      <c r="D5" s="40" t="s">
        <v>25</v>
      </c>
      <c r="E5" s="41">
        <v>0.1</v>
      </c>
    </row>
    <row r="6" spans="2:5" x14ac:dyDescent="0.25">
      <c r="B6" s="38" t="s">
        <v>37</v>
      </c>
      <c r="C6" s="39" t="s">
        <v>29</v>
      </c>
      <c r="D6" s="40" t="s">
        <v>26</v>
      </c>
      <c r="E6" s="41">
        <v>0.1</v>
      </c>
    </row>
    <row r="7" spans="2:5" x14ac:dyDescent="0.25">
      <c r="B7" s="38" t="s">
        <v>38</v>
      </c>
      <c r="C7" s="39" t="s">
        <v>29</v>
      </c>
      <c r="D7" s="40" t="s">
        <v>27</v>
      </c>
      <c r="E7" s="41">
        <v>0</v>
      </c>
    </row>
    <row r="8" spans="2:5" x14ac:dyDescent="0.25">
      <c r="B8" s="38" t="s">
        <v>39</v>
      </c>
      <c r="C8" s="39" t="s">
        <v>29</v>
      </c>
      <c r="D8" s="40" t="s">
        <v>28</v>
      </c>
      <c r="E8" s="41">
        <v>0</v>
      </c>
    </row>
    <row r="9" spans="2:5" x14ac:dyDescent="0.25">
      <c r="B9" s="42" t="s">
        <v>46</v>
      </c>
      <c r="C9" s="43" t="s">
        <v>30</v>
      </c>
      <c r="D9" s="44"/>
      <c r="E9" s="45">
        <v>0.32</v>
      </c>
    </row>
    <row r="10" spans="2:5" x14ac:dyDescent="0.25">
      <c r="B10" s="42" t="s">
        <v>47</v>
      </c>
      <c r="C10" s="43" t="s">
        <v>30</v>
      </c>
      <c r="D10" s="44"/>
      <c r="E10" s="45">
        <v>0.4</v>
      </c>
    </row>
    <row r="11" spans="2:5" x14ac:dyDescent="0.25">
      <c r="B11" s="42" t="s">
        <v>48</v>
      </c>
      <c r="C11" s="43" t="s">
        <v>30</v>
      </c>
      <c r="D11" s="44"/>
      <c r="E11" s="45">
        <v>0.08</v>
      </c>
    </row>
    <row r="12" spans="2:5" x14ac:dyDescent="0.25">
      <c r="B12" s="42" t="s">
        <v>49</v>
      </c>
      <c r="C12" s="43" t="s">
        <v>30</v>
      </c>
      <c r="D12" s="44"/>
      <c r="E12" s="45">
        <v>0.1</v>
      </c>
    </row>
    <row r="13" spans="2:5" x14ac:dyDescent="0.25">
      <c r="B13" s="42" t="s">
        <v>50</v>
      </c>
      <c r="C13" s="43" t="s">
        <v>30</v>
      </c>
      <c r="D13" s="44"/>
      <c r="E13" s="45">
        <v>0.1</v>
      </c>
    </row>
    <row r="14" spans="2:5" x14ac:dyDescent="0.25">
      <c r="B14" s="42" t="s">
        <v>51</v>
      </c>
      <c r="C14" s="43" t="s">
        <v>30</v>
      </c>
      <c r="D14" s="44"/>
      <c r="E14" s="45">
        <v>0</v>
      </c>
    </row>
    <row r="15" spans="2:5" x14ac:dyDescent="0.25">
      <c r="B15" s="46" t="s">
        <v>40</v>
      </c>
      <c r="C15" s="47" t="s">
        <v>14</v>
      </c>
      <c r="D15" s="48"/>
      <c r="E15" s="49">
        <v>0.5</v>
      </c>
    </row>
    <row r="16" spans="2:5" x14ac:dyDescent="0.25">
      <c r="B16" s="46" t="s">
        <v>41</v>
      </c>
      <c r="C16" s="47" t="s">
        <v>14</v>
      </c>
      <c r="D16" s="48"/>
      <c r="E16" s="50">
        <v>0.1</v>
      </c>
    </row>
    <row r="17" spans="2:5" x14ac:dyDescent="0.25">
      <c r="B17" s="46" t="s">
        <v>42</v>
      </c>
      <c r="C17" s="47" t="s">
        <v>14</v>
      </c>
      <c r="D17" s="48"/>
      <c r="E17" s="50">
        <v>0.05</v>
      </c>
    </row>
    <row r="18" spans="2:5" x14ac:dyDescent="0.25">
      <c r="B18" s="46" t="s">
        <v>43</v>
      </c>
      <c r="C18" s="47" t="s">
        <v>14</v>
      </c>
      <c r="D18" s="48"/>
      <c r="E18" s="50">
        <v>0.05</v>
      </c>
    </row>
    <row r="19" spans="2:5" x14ac:dyDescent="0.25">
      <c r="B19" s="46" t="s">
        <v>44</v>
      </c>
      <c r="C19" s="47" t="s">
        <v>14</v>
      </c>
      <c r="D19" s="48"/>
      <c r="E19" s="50">
        <v>0.2</v>
      </c>
    </row>
    <row r="20" spans="2:5" x14ac:dyDescent="0.25">
      <c r="B20" s="51" t="s">
        <v>45</v>
      </c>
      <c r="C20" s="52" t="s">
        <v>14</v>
      </c>
      <c r="D20" s="53"/>
      <c r="E20" s="54">
        <v>0.1</v>
      </c>
    </row>
  </sheetData>
  <sheetProtection sheet="1" objects="1" scenarios="1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8</vt:i4>
      </vt:variant>
    </vt:vector>
  </HeadingPairs>
  <TitlesOfParts>
    <vt:vector size="10" baseType="lpstr">
      <vt:lpstr>Simulações de Investimento</vt:lpstr>
      <vt:lpstr>Base_Porcentagem</vt:lpstr>
      <vt:lpstr>anos</vt:lpstr>
      <vt:lpstr>patrimonio</vt:lpstr>
      <vt:lpstr>periodo</vt:lpstr>
      <vt:lpstr>rendimento_carteira</vt:lpstr>
      <vt:lpstr>salario</vt:lpstr>
      <vt:lpstr>sugestao_inv</vt:lpstr>
      <vt:lpstr>taxa</vt:lpstr>
      <vt:lpstr>valor_investido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GIOVANNA NASCIMENTO DOS SANTOS</dc:creator>
  <cp:lastModifiedBy>GIOVANNA NASCIMENTO DOS SANTOS</cp:lastModifiedBy>
  <dcterms:created xsi:type="dcterms:W3CDTF">2025-12-13T17:54:40Z</dcterms:created>
  <dcterms:modified xsi:type="dcterms:W3CDTF">2025-12-15T00:42:24Z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2025-12-13T18:25:18Z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38ae2f02-5710-4e12-80bb-83600c3fdf1e</vt:lpwstr>
  </property>
  <property fmtid="{D5CDD505-2E9C-101B-9397-08002B2CF9AE}" pid="7" name="MSIP_Label_defa4170-0d19-0005-0004-bc88714345d2_ActionId">
    <vt:lpwstr>5dfce742-8fc6-4c90-a13b-e87b2643fe46</vt:lpwstr>
  </property>
  <property fmtid="{D5CDD505-2E9C-101B-9397-08002B2CF9AE}" pid="8" name="MSIP_Label_defa4170-0d19-0005-0004-bc88714345d2_ContentBits">
    <vt:lpwstr>0</vt:lpwstr>
  </property>
  <property fmtid="{D5CDD505-2E9C-101B-9397-08002B2CF9AE}" pid="9" name="MSIP_Label_defa4170-0d19-0005-0004-bc88714345d2_Tag">
    <vt:lpwstr>10, 3, 0, 1</vt:lpwstr>
  </property>
</Properties>
</file>